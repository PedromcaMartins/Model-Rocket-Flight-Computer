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Pipes\Backup Vault\Amateur Rocketry\Project Tango\"/>
    </mc:Choice>
  </mc:AlternateContent>
  <xr:revisionPtr revIDLastSave="0" documentId="13_ncr:1_{2AC7AF97-0BFE-4210-906F-D8C8F3FC4C64}" xr6:coauthVersionLast="47" xr6:coauthVersionMax="47" xr10:uidLastSave="{00000000-0000-0000-0000-000000000000}"/>
  <bookViews>
    <workbookView xWindow="13440" yWindow="0" windowWidth="13728" windowHeight="181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0" i="1"/>
  <c r="E13" i="1"/>
  <c r="D13" i="1"/>
  <c r="D11" i="1"/>
  <c r="E9" i="1"/>
  <c r="E12" i="1"/>
  <c r="E11" i="1"/>
  <c r="E10" i="1"/>
  <c r="E20" i="1" l="1"/>
  <c r="D20" i="1"/>
</calcChain>
</file>

<file path=xl/sharedStrings.xml><?xml version="1.0" encoding="utf-8"?>
<sst xmlns="http://schemas.openxmlformats.org/spreadsheetml/2006/main" count="41" uniqueCount="41">
  <si>
    <t>Weight</t>
  </si>
  <si>
    <t>System</t>
  </si>
  <si>
    <t>Flight Computer</t>
  </si>
  <si>
    <t>Companion Computer</t>
  </si>
  <si>
    <t>Pixhawk 6c mini</t>
  </si>
  <si>
    <t xml:space="preserve">Power Distribution </t>
  </si>
  <si>
    <t>Power Distribution Board</t>
  </si>
  <si>
    <t>Price</t>
  </si>
  <si>
    <t>Link</t>
  </si>
  <si>
    <t>PM02 V3 Power Module (12s)</t>
  </si>
  <si>
    <t>Total Price</t>
  </si>
  <si>
    <t>Total Weight</t>
  </si>
  <si>
    <t>PM02 V3 Power Module (12S) – Holybro Store</t>
  </si>
  <si>
    <t>Power Distribution Board (PDB) – Holybro Store</t>
  </si>
  <si>
    <t>Pixhawk 6C Mini – Holybro Store</t>
  </si>
  <si>
    <t>Example UAVs</t>
  </si>
  <si>
    <t>X650 Kits – Holybro Store</t>
  </si>
  <si>
    <t>PX4 Development Kit - X500 v2 – Holybro Store</t>
  </si>
  <si>
    <t>GPS</t>
  </si>
  <si>
    <t>Micro M9N/ M10</t>
  </si>
  <si>
    <t>Battery</t>
  </si>
  <si>
    <t>Motors</t>
  </si>
  <si>
    <t>Servos</t>
  </si>
  <si>
    <t>Radio Controller</t>
  </si>
  <si>
    <t>Receiver</t>
  </si>
  <si>
    <t>Controller</t>
  </si>
  <si>
    <t>https://www.frsky-rc.com</t>
  </si>
  <si>
    <t>Blades</t>
  </si>
  <si>
    <t>ESC</t>
  </si>
  <si>
    <t>2x T5146</t>
  </si>
  <si>
    <t>2x F40PRO IV 1950</t>
  </si>
  <si>
    <t>4S ?</t>
  </si>
  <si>
    <t>F40PRO IV FPV Racing Drone Motor KV1950/KV2400 | T-MOTOR®</t>
  </si>
  <si>
    <t>Standard Precision GPS – Holybro Store</t>
  </si>
  <si>
    <t>T5146 2Pairs/bag_Propellers_FPV Drone Parts_T-MOTOR Official Store-Multi-rotor UAV,Fixed Wing,VTOL,FPV and Robot Power</t>
  </si>
  <si>
    <t>AT55A 2-6S Fixed Wing Aircraft ESC | T-MOTOR®</t>
  </si>
  <si>
    <t>2x AT55A 2-6S Fixed Wing Aircraft ESC</t>
  </si>
  <si>
    <t>Towerpro MG995-360</t>
  </si>
  <si>
    <t>Model</t>
  </si>
  <si>
    <t>Raspberry Pi 5 8GB</t>
  </si>
  <si>
    <t>SC1112 RASPBERRY PI Microcomputador Raspberry Pi 5 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</si>
</sst>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olybro.com/collections/gps" TargetMode="External"/><Relationship Id="rId3" Type="http://schemas.openxmlformats.org/officeDocument/2006/relationships/hyperlink" Target="https://holybro.com/collections/autopilot-flight-controllers/products/pixhawk-6c-mini?variant=44511517540541" TargetMode="External"/><Relationship Id="rId7" Type="http://schemas.openxmlformats.org/officeDocument/2006/relationships/hyperlink" Target="https://store.tmotor.com/goods.php?id=1011" TargetMode="External"/><Relationship Id="rId2" Type="http://schemas.openxmlformats.org/officeDocument/2006/relationships/hyperlink" Target="https://holybro.com/collections/power-modules-pdbs/products/power-distribution-board-pdb?variant=41590962716861" TargetMode="External"/><Relationship Id="rId1" Type="http://schemas.openxmlformats.org/officeDocument/2006/relationships/hyperlink" Target="https://holybro.com/collections/power-modules-pdbs/products/pm02-v3-12s-power-module" TargetMode="External"/><Relationship Id="rId6" Type="http://schemas.openxmlformats.org/officeDocument/2006/relationships/hyperlink" Target="https://www.frsky-rc.com/" TargetMode="External"/><Relationship Id="rId11" Type="http://schemas.openxmlformats.org/officeDocument/2006/relationships/hyperlink" Target="https://mauser.pt/catalog/product_info.php?products_id=095-5008" TargetMode="External"/><Relationship Id="rId5" Type="http://schemas.openxmlformats.org/officeDocument/2006/relationships/hyperlink" Target="https://holybro.com/collections/multicopter-kit/products/px4-development-kit-x500-v2" TargetMode="External"/><Relationship Id="rId10" Type="http://schemas.openxmlformats.org/officeDocument/2006/relationships/hyperlink" Target="https://store.tmotor.com/goods.php?id=903" TargetMode="External"/><Relationship Id="rId4" Type="http://schemas.openxmlformats.org/officeDocument/2006/relationships/hyperlink" Target="https://holybro.com/collections/multicopter-kit/products/x650-kits" TargetMode="External"/><Relationship Id="rId9" Type="http://schemas.openxmlformats.org/officeDocument/2006/relationships/hyperlink" Target="https://store.tmotor.com/product/t5146-fpv-propell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8"/>
  <sheetViews>
    <sheetView tabSelected="1" zoomScale="115" zoomScaleNormal="115" workbookViewId="0">
      <selection activeCell="F12" sqref="F12"/>
    </sheetView>
  </sheetViews>
  <sheetFormatPr defaultRowHeight="14.4" x14ac:dyDescent="0.3"/>
  <cols>
    <col min="2" max="2" width="35.88671875" customWidth="1"/>
    <col min="3" max="3" width="31.6640625" customWidth="1"/>
    <col min="4" max="4" width="17.44140625" customWidth="1"/>
    <col min="5" max="5" width="14.21875" style="1" customWidth="1"/>
  </cols>
  <sheetData>
    <row r="2" spans="2:6" x14ac:dyDescent="0.3">
      <c r="B2" t="s">
        <v>1</v>
      </c>
      <c r="C2" t="s">
        <v>38</v>
      </c>
      <c r="D2" t="s">
        <v>0</v>
      </c>
      <c r="E2" s="1" t="s">
        <v>7</v>
      </c>
      <c r="F2" t="s">
        <v>8</v>
      </c>
    </row>
    <row r="3" spans="2:6" x14ac:dyDescent="0.3">
      <c r="E3" s="2"/>
    </row>
    <row r="4" spans="2:6" x14ac:dyDescent="0.3">
      <c r="B4" t="s">
        <v>2</v>
      </c>
      <c r="C4" t="s">
        <v>4</v>
      </c>
      <c r="D4">
        <v>39.299999999999997</v>
      </c>
      <c r="E4" s="2">
        <v>106</v>
      </c>
      <c r="F4" s="3" t="s">
        <v>14</v>
      </c>
    </row>
    <row r="5" spans="2:6" x14ac:dyDescent="0.3">
      <c r="B5" t="s">
        <v>3</v>
      </c>
      <c r="C5" t="s">
        <v>39</v>
      </c>
      <c r="D5">
        <v>105</v>
      </c>
      <c r="E5" s="2">
        <v>90</v>
      </c>
      <c r="F5" s="3" t="s">
        <v>40</v>
      </c>
    </row>
    <row r="6" spans="2:6" x14ac:dyDescent="0.3">
      <c r="B6" t="s">
        <v>5</v>
      </c>
      <c r="C6" t="s">
        <v>9</v>
      </c>
      <c r="D6">
        <v>20</v>
      </c>
      <c r="E6" s="2">
        <v>19</v>
      </c>
      <c r="F6" s="3" t="s">
        <v>12</v>
      </c>
    </row>
    <row r="7" spans="2:6" x14ac:dyDescent="0.3">
      <c r="C7" t="s">
        <v>6</v>
      </c>
      <c r="E7" s="2">
        <v>8.6</v>
      </c>
      <c r="F7" s="3" t="s">
        <v>13</v>
      </c>
    </row>
    <row r="8" spans="2:6" x14ac:dyDescent="0.3">
      <c r="B8" t="s">
        <v>18</v>
      </c>
      <c r="C8" t="s">
        <v>19</v>
      </c>
      <c r="D8">
        <v>20</v>
      </c>
      <c r="E8" s="2">
        <v>39</v>
      </c>
      <c r="F8" s="3" t="s">
        <v>33</v>
      </c>
    </row>
    <row r="9" spans="2:6" x14ac:dyDescent="0.3">
      <c r="B9" t="s">
        <v>20</v>
      </c>
      <c r="C9" t="s">
        <v>31</v>
      </c>
      <c r="D9">
        <v>250</v>
      </c>
      <c r="E9" s="2">
        <f>3*40</f>
        <v>120</v>
      </c>
    </row>
    <row r="10" spans="2:6" x14ac:dyDescent="0.3">
      <c r="B10" t="s">
        <v>21</v>
      </c>
      <c r="C10" t="s">
        <v>30</v>
      </c>
      <c r="D10">
        <f>2*30.8</f>
        <v>61.6</v>
      </c>
      <c r="E10" s="2">
        <f>4*26.9</f>
        <v>107.6</v>
      </c>
      <c r="F10" s="3" t="s">
        <v>32</v>
      </c>
    </row>
    <row r="11" spans="2:6" x14ac:dyDescent="0.3">
      <c r="B11" t="s">
        <v>27</v>
      </c>
      <c r="C11" t="s">
        <v>29</v>
      </c>
      <c r="D11">
        <f>2*5</f>
        <v>10</v>
      </c>
      <c r="E11" s="2">
        <f>12*3.2</f>
        <v>38.400000000000006</v>
      </c>
      <c r="F11" s="3" t="s">
        <v>34</v>
      </c>
    </row>
    <row r="12" spans="2:6" x14ac:dyDescent="0.3">
      <c r="B12" t="s">
        <v>28</v>
      </c>
      <c r="C12" t="s">
        <v>36</v>
      </c>
      <c r="D12">
        <f>2*63</f>
        <v>126</v>
      </c>
      <c r="E12" s="2">
        <f>4*30</f>
        <v>120</v>
      </c>
      <c r="F12" s="3" t="s">
        <v>35</v>
      </c>
    </row>
    <row r="13" spans="2:6" x14ac:dyDescent="0.3">
      <c r="B13" t="s">
        <v>22</v>
      </c>
      <c r="C13" t="s">
        <v>37</v>
      </c>
      <c r="D13">
        <f>2*55</f>
        <v>110</v>
      </c>
      <c r="E13" s="2">
        <f>4*12</f>
        <v>48</v>
      </c>
    </row>
    <row r="14" spans="2:6" x14ac:dyDescent="0.3">
      <c r="B14" t="s">
        <v>23</v>
      </c>
      <c r="C14" t="s">
        <v>25</v>
      </c>
      <c r="E14" s="2"/>
      <c r="F14" s="3" t="s">
        <v>26</v>
      </c>
    </row>
    <row r="15" spans="2:6" x14ac:dyDescent="0.3">
      <c r="C15" t="s">
        <v>24</v>
      </c>
      <c r="E15" s="2"/>
    </row>
    <row r="16" spans="2:6" x14ac:dyDescent="0.3">
      <c r="E16" s="2"/>
    </row>
    <row r="17" spans="2:5" x14ac:dyDescent="0.3">
      <c r="E17" s="2"/>
    </row>
    <row r="19" spans="2:5" x14ac:dyDescent="0.3">
      <c r="D19" t="s">
        <v>11</v>
      </c>
      <c r="E19" s="1" t="s">
        <v>10</v>
      </c>
    </row>
    <row r="20" spans="2:5" x14ac:dyDescent="0.3">
      <c r="D20">
        <f>SUM(D4:D17)</f>
        <v>741.90000000000009</v>
      </c>
      <c r="E20" s="2">
        <f>SUM(E4:E17)</f>
        <v>696.6</v>
      </c>
    </row>
    <row r="26" spans="2:5" x14ac:dyDescent="0.3">
      <c r="B26" t="s">
        <v>15</v>
      </c>
    </row>
    <row r="27" spans="2:5" x14ac:dyDescent="0.3">
      <c r="B27" s="3" t="s">
        <v>16</v>
      </c>
    </row>
    <row r="28" spans="2:5" x14ac:dyDescent="0.3">
      <c r="B28" s="3" t="s">
        <v>17</v>
      </c>
    </row>
  </sheetData>
  <hyperlinks>
    <hyperlink ref="F6" r:id="rId1" display="https://holybro.com/collections/power-modules-pdbs/products/pm02-v3-12s-power-module" xr:uid="{F5F791E6-B161-466A-B940-C17A646C9942}"/>
    <hyperlink ref="F7" r:id="rId2" display="https://holybro.com/collections/power-modules-pdbs/products/power-distribution-board-pdb?variant=41590962716861" xr:uid="{43B7C444-DBF6-47E1-BEA4-239BA34A822B}"/>
    <hyperlink ref="F4" r:id="rId3" display="https://holybro.com/collections/autopilot-flight-controllers/products/pixhawk-6c-mini?variant=44511517540541" xr:uid="{3B1A7523-BCAC-4E90-A9E2-D88EA988D495}"/>
    <hyperlink ref="B27" r:id="rId4" display="https://holybro.com/collections/multicopter-kit/products/x650-kits" xr:uid="{48356A3F-E529-470C-9C84-4B665A6C7247}"/>
    <hyperlink ref="B28" r:id="rId5" display="https://holybro.com/collections/multicopter-kit/products/px4-development-kit-x500-v2" xr:uid="{A90C96F6-8471-4808-AAD6-56BBDA387695}"/>
    <hyperlink ref="F14" r:id="rId6" xr:uid="{9431BE13-913B-4307-87BC-27F48ABE7242}"/>
    <hyperlink ref="F10" r:id="rId7" display="https://store.tmotor.com/goods.php?id=1011" xr:uid="{C16AF6DC-7618-479F-81FF-2F5D12EFDBDD}"/>
    <hyperlink ref="F8" r:id="rId8" display="https://holybro.com/collections/gps" xr:uid="{25D3BAF3-2342-4E7A-9384-06578041586C}"/>
    <hyperlink ref="F11" r:id="rId9" display="https://store.tmotor.com/product/t5146-fpv-propeller.html" xr:uid="{F21E97EF-B9CB-4584-96F2-02C603ABECF5}"/>
    <hyperlink ref="F12" r:id="rId10" display="https://store.tmotor.com/goods.php?id=903" xr:uid="{724A565B-BCB7-409D-978E-40B4696F84CC}"/>
    <hyperlink ref="F5" r:id="rId11" display="https://mauser.pt/catalog/product_info.php?products_id=095-5008" xr:uid="{6D467F95-BEEE-445D-AF61-9B71B53002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Pipes</dc:creator>
  <cp:lastModifiedBy>Pipes</cp:lastModifiedBy>
  <dcterms:created xsi:type="dcterms:W3CDTF">2015-06-05T18:17:20Z</dcterms:created>
  <dcterms:modified xsi:type="dcterms:W3CDTF">2024-12-13T18:12:30Z</dcterms:modified>
</cp:coreProperties>
</file>